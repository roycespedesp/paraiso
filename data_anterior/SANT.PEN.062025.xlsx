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FM595557" sheetId="1" r:id="rId4"/>
  </sheets>
  <definedNames/>
  <calcPr/>
  <extLst>
    <ext uri="GoogleSheetsCustomDataVersion2">
      <go:sheetsCustomData xmlns:go="http://customooxmlschemas.google.com/" r:id="rId5" roundtripDataChecksum="TVfKezOSLr0HdfLsNRkPNwQzYamLaYXCfaYbhxUyMPk="/>
    </ext>
  </extLst>
</workbook>
</file>

<file path=xl/sharedStrings.xml><?xml version="1.0" encoding="utf-8"?>
<sst xmlns="http://schemas.openxmlformats.org/spreadsheetml/2006/main" count="130" uniqueCount="41">
  <si>
    <t>DATOS DE LA EMPRESA</t>
  </si>
  <si>
    <t>Nombre</t>
  </si>
  <si>
    <t xml:space="preserve">PRODUCTOS PARAISO DEL PERU S.A.C                  </t>
  </si>
  <si>
    <t>Fecha</t>
  </si>
  <si>
    <t>Grupo Econ.</t>
  </si>
  <si>
    <t xml:space="preserve">IVCHER                                            </t>
  </si>
  <si>
    <t>Hora</t>
  </si>
  <si>
    <t>Nro.Cuenta</t>
  </si>
  <si>
    <t>Saldo Disponible</t>
  </si>
  <si>
    <t>MOVIMIENTOS</t>
  </si>
  <si>
    <t>Fecha Valor</t>
  </si>
  <si>
    <t>Referencia</t>
  </si>
  <si>
    <t>Descripcion</t>
  </si>
  <si>
    <t>Moneda</t>
  </si>
  <si>
    <t>Importe</t>
  </si>
  <si>
    <t>Saldo</t>
  </si>
  <si>
    <t>Texto</t>
  </si>
  <si>
    <t>Cod.Trans</t>
  </si>
  <si>
    <t>Agencia</t>
  </si>
  <si>
    <t xml:space="preserve">MANTENIMIENTO DE CTA.CTE.               </t>
  </si>
  <si>
    <t>S/.</t>
  </si>
  <si>
    <t xml:space="preserve">.                             </t>
  </si>
  <si>
    <t xml:space="preserve">PORTES                                  </t>
  </si>
  <si>
    <t xml:space="preserve">NOTA DE ABONO LBTR                      </t>
  </si>
  <si>
    <t xml:space="preserve">00928300000735215835          </t>
  </si>
  <si>
    <t xml:space="preserve">CARGO POR ITF                           </t>
  </si>
  <si>
    <t>CARGO CONFIRMING  LOTE: 001323</t>
  </si>
  <si>
    <t>CARGO CONFIRMING  LOTE: 001322</t>
  </si>
  <si>
    <t>CARGO CONFIRMING  LOTE: 001318</t>
  </si>
  <si>
    <t xml:space="preserve">CARGO TRANSACCION WEB                   </t>
  </si>
  <si>
    <t>CARGO CONFIRMING  LOTE: 001316</t>
  </si>
  <si>
    <t>CARGO CONFIRMING  LOTE: 001320</t>
  </si>
  <si>
    <t>CARGO CONFIRMING  LOTE: 001314</t>
  </si>
  <si>
    <t xml:space="preserve">NOTA DE CARGO                           </t>
  </si>
  <si>
    <t xml:space="preserve">SPT42707073                   </t>
  </si>
  <si>
    <t xml:space="preserve">SPT42678560                   </t>
  </si>
  <si>
    <t>CARGO CONFIRMING  LOTE: 001311</t>
  </si>
  <si>
    <t xml:space="preserve">ABONO TRANSFER. INTERBANCARIA           </t>
  </si>
  <si>
    <t xml:space="preserve">ABONO TRANSFER. INTERBANCARIA </t>
  </si>
  <si>
    <t>CARGO CONFIRMING  LOTE: 001309</t>
  </si>
  <si>
    <t>_x001a_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</si>
</sst>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1" xfId="0" applyAlignment="1" applyFont="1" applyNumberFormat="1">
      <alignment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0"/>
    <col customWidth="1" min="3" max="3" width="13.75"/>
    <col customWidth="1" min="4" max="4" width="16.75"/>
    <col customWidth="1" min="5" max="5" width="20.25"/>
    <col customWidth="1" min="6" max="6" width="10.0"/>
    <col customWidth="1" min="7" max="7" width="17.13"/>
    <col customWidth="1" min="8" max="26" width="10.0"/>
  </cols>
  <sheetData>
    <row r="1" ht="14.25" customHeight="1">
      <c r="A1" s="1" t="s">
        <v>0</v>
      </c>
    </row>
    <row r="2" ht="14.25" customHeight="1">
      <c r="A2" s="1" t="s">
        <v>1</v>
      </c>
      <c r="B2" s="1" t="s">
        <v>2</v>
      </c>
      <c r="C2" s="1" t="s">
        <v>3</v>
      </c>
      <c r="D2" s="1" t="str">
        <f>T("01/07/2025")</f>
        <v>01/07/2025</v>
      </c>
    </row>
    <row r="3" ht="14.25" customHeight="1">
      <c r="A3" s="1" t="s">
        <v>4</v>
      </c>
      <c r="B3" s="1" t="s">
        <v>5</v>
      </c>
      <c r="C3" s="1" t="s">
        <v>6</v>
      </c>
      <c r="D3" s="2">
        <v>0.5585300925925926</v>
      </c>
    </row>
    <row r="4" ht="14.25" customHeight="1">
      <c r="A4" s="1" t="s">
        <v>7</v>
      </c>
      <c r="B4" s="1" t="str">
        <f>T("0008063001")</f>
        <v>0008063001</v>
      </c>
    </row>
    <row r="5" ht="14.25" customHeight="1">
      <c r="A5" s="1" t="s">
        <v>8</v>
      </c>
      <c r="B5" s="1">
        <v>22316.93</v>
      </c>
    </row>
    <row r="6" ht="14.25" customHeight="1"/>
    <row r="7" ht="14.25" customHeight="1">
      <c r="A7" s="1" t="s">
        <v>9</v>
      </c>
    </row>
    <row r="8" ht="14.25" customHeight="1">
      <c r="A8" s="1" t="s">
        <v>3</v>
      </c>
      <c r="B8" s="1" t="s">
        <v>6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14</v>
      </c>
      <c r="H8" s="1" t="s">
        <v>15</v>
      </c>
      <c r="I8" s="1" t="s">
        <v>16</v>
      </c>
      <c r="J8" s="1" t="s">
        <v>17</v>
      </c>
      <c r="K8" s="1" t="s">
        <v>18</v>
      </c>
    </row>
    <row r="9" ht="14.25" customHeight="1">
      <c r="A9" s="1" t="str">
        <f t="shared" ref="A9:A10" si="1">T("30/06/2025")</f>
        <v>30/06/2025</v>
      </c>
      <c r="B9" s="2">
        <v>0.9583333333333334</v>
      </c>
      <c r="C9" s="1" t="str">
        <f t="shared" ref="C9:C10" si="2">T("30/06/2025")</f>
        <v>30/06/2025</v>
      </c>
      <c r="D9" s="1" t="str">
        <f t="shared" ref="D9:D10" si="3">T("0907000001")</f>
        <v>0907000001</v>
      </c>
      <c r="E9" s="1" t="s">
        <v>19</v>
      </c>
      <c r="F9" s="1" t="s">
        <v>20</v>
      </c>
      <c r="G9" s="1">
        <v>-35.0</v>
      </c>
      <c r="H9" s="1">
        <v>22316.93</v>
      </c>
      <c r="I9" s="1" t="s">
        <v>21</v>
      </c>
      <c r="J9" s="1" t="str">
        <f>T("5079")</f>
        <v>5079</v>
      </c>
      <c r="K9" s="1" t="str">
        <f t="shared" ref="K9:K11" si="4">T("RIVERA NAVARRETE 475                    ")</f>
        <v>RIVERA NAVARRETE 475                    </v>
      </c>
    </row>
    <row r="10" ht="14.25" customHeight="1">
      <c r="A10" s="1" t="str">
        <f t="shared" si="1"/>
        <v>30/06/2025</v>
      </c>
      <c r="B10" s="2">
        <v>0.9583333333333334</v>
      </c>
      <c r="C10" s="1" t="str">
        <f t="shared" si="2"/>
        <v>30/06/2025</v>
      </c>
      <c r="D10" s="1" t="str">
        <f t="shared" si="3"/>
        <v>0907000001</v>
      </c>
      <c r="E10" s="1" t="s">
        <v>22</v>
      </c>
      <c r="F10" s="1" t="s">
        <v>20</v>
      </c>
      <c r="G10" s="1">
        <v>-3.5</v>
      </c>
      <c r="H10" s="1">
        <v>22351.93</v>
      </c>
      <c r="I10" s="1" t="s">
        <v>21</v>
      </c>
      <c r="J10" s="1" t="str">
        <f>T("5007")</f>
        <v>5007</v>
      </c>
      <c r="K10" s="1" t="str">
        <f t="shared" si="4"/>
        <v>RIVERA NAVARRETE 475                    </v>
      </c>
    </row>
    <row r="11" ht="14.25" customHeight="1">
      <c r="A11" s="1" t="str">
        <f t="shared" ref="A11:A19" si="5">T("27/06/2025")</f>
        <v>27/06/2025</v>
      </c>
      <c r="B11" s="2">
        <v>0.544074074074074</v>
      </c>
      <c r="C11" s="1" t="str">
        <f t="shared" ref="C11:C19" si="6">T("27/06/2025")</f>
        <v>27/06/2025</v>
      </c>
      <c r="D11" s="1" t="str">
        <f>T("0004753139")</f>
        <v>0004753139</v>
      </c>
      <c r="E11" s="1" t="s">
        <v>23</v>
      </c>
      <c r="F11" s="1" t="s">
        <v>20</v>
      </c>
      <c r="G11" s="1">
        <v>300000.0</v>
      </c>
      <c r="H11" s="1">
        <v>22355.43</v>
      </c>
      <c r="I11" s="3" t="s">
        <v>24</v>
      </c>
      <c r="J11" s="1" t="str">
        <f>T("0195")</f>
        <v>0195</v>
      </c>
      <c r="K11" s="1" t="str">
        <f t="shared" si="4"/>
        <v>RIVERA NAVARRETE 475                    </v>
      </c>
    </row>
    <row r="12" ht="14.25" customHeight="1">
      <c r="A12" s="1" t="str">
        <f t="shared" si="5"/>
        <v>27/06/2025</v>
      </c>
      <c r="B12" s="2">
        <v>0.3091319444444444</v>
      </c>
      <c r="C12" s="1" t="str">
        <f t="shared" si="6"/>
        <v>27/06/2025</v>
      </c>
      <c r="D12" s="1" t="str">
        <f>T("0018883539")</f>
        <v>0018883539</v>
      </c>
      <c r="E12" s="1" t="s">
        <v>25</v>
      </c>
      <c r="F12" s="1" t="s">
        <v>20</v>
      </c>
      <c r="G12" s="1">
        <v>-0.1</v>
      </c>
      <c r="H12" s="1">
        <v>-277644.57</v>
      </c>
      <c r="I12" s="1" t="s">
        <v>26</v>
      </c>
      <c r="J12" s="1" t="str">
        <f t="shared" ref="J12:J14" si="7">T("8030")</f>
        <v>8030</v>
      </c>
      <c r="K12" s="1" t="str">
        <f t="shared" ref="K12:K19" si="8">T("Oficce Banking                          ")</f>
        <v>Oficce Banking                          </v>
      </c>
    </row>
    <row r="13" ht="14.25" customHeight="1">
      <c r="A13" s="1" t="str">
        <f t="shared" si="5"/>
        <v>27/06/2025</v>
      </c>
      <c r="B13" s="2">
        <v>0.3091319444444444</v>
      </c>
      <c r="C13" s="1" t="str">
        <f t="shared" si="6"/>
        <v>27/06/2025</v>
      </c>
      <c r="D13" s="1" t="str">
        <f>T("0018883538")</f>
        <v>0018883538</v>
      </c>
      <c r="E13" s="1" t="s">
        <v>25</v>
      </c>
      <c r="F13" s="1" t="s">
        <v>20</v>
      </c>
      <c r="G13" s="1">
        <v>-0.2</v>
      </c>
      <c r="H13" s="1">
        <v>-277644.47</v>
      </c>
      <c r="I13" s="1" t="s">
        <v>27</v>
      </c>
      <c r="J13" s="1" t="str">
        <f t="shared" si="7"/>
        <v>8030</v>
      </c>
      <c r="K13" s="1" t="str">
        <f t="shared" si="8"/>
        <v>Oficce Banking                          </v>
      </c>
    </row>
    <row r="14" ht="14.25" customHeight="1">
      <c r="A14" s="1" t="str">
        <f t="shared" si="5"/>
        <v>27/06/2025</v>
      </c>
      <c r="B14" s="2">
        <v>0.3091319444444444</v>
      </c>
      <c r="C14" s="1" t="str">
        <f t="shared" si="6"/>
        <v>27/06/2025</v>
      </c>
      <c r="D14" s="1" t="str">
        <f>T("0018883536")</f>
        <v>0018883536</v>
      </c>
      <c r="E14" s="1" t="s">
        <v>25</v>
      </c>
      <c r="F14" s="1" t="s">
        <v>20</v>
      </c>
      <c r="G14" s="1">
        <v>-9.3</v>
      </c>
      <c r="H14" s="1">
        <v>-277644.27</v>
      </c>
      <c r="I14" s="1" t="s">
        <v>28</v>
      </c>
      <c r="J14" s="1" t="str">
        <f t="shared" si="7"/>
        <v>8030</v>
      </c>
      <c r="K14" s="1" t="str">
        <f t="shared" si="8"/>
        <v>Oficce Banking                          </v>
      </c>
    </row>
    <row r="15" ht="14.25" customHeight="1">
      <c r="A15" s="1" t="str">
        <f t="shared" si="5"/>
        <v>27/06/2025</v>
      </c>
      <c r="B15" s="2">
        <v>0.3091319444444444</v>
      </c>
      <c r="C15" s="1" t="str">
        <f t="shared" si="6"/>
        <v>27/06/2025</v>
      </c>
      <c r="D15" s="1" t="str">
        <f>T("0018883539")</f>
        <v>0018883539</v>
      </c>
      <c r="E15" s="1" t="s">
        <v>29</v>
      </c>
      <c r="F15" s="1" t="s">
        <v>20</v>
      </c>
      <c r="G15" s="1">
        <v>-2655.92</v>
      </c>
      <c r="H15" s="1">
        <v>-277634.97</v>
      </c>
      <c r="I15" s="1" t="s">
        <v>26</v>
      </c>
      <c r="J15" s="1" t="str">
        <f t="shared" ref="J15:J17" si="9">T("1081")</f>
        <v>1081</v>
      </c>
      <c r="K15" s="1" t="str">
        <f t="shared" si="8"/>
        <v>Oficce Banking                          </v>
      </c>
    </row>
    <row r="16" ht="14.25" customHeight="1">
      <c r="A16" s="1" t="str">
        <f t="shared" si="5"/>
        <v>27/06/2025</v>
      </c>
      <c r="B16" s="2">
        <v>0.3091319444444444</v>
      </c>
      <c r="C16" s="1" t="str">
        <f t="shared" si="6"/>
        <v>27/06/2025</v>
      </c>
      <c r="D16" s="1" t="str">
        <f>T("0018883538")</f>
        <v>0018883538</v>
      </c>
      <c r="E16" s="1" t="s">
        <v>29</v>
      </c>
      <c r="F16" s="1" t="s">
        <v>20</v>
      </c>
      <c r="G16" s="1">
        <v>-4422.73</v>
      </c>
      <c r="H16" s="1">
        <v>-274979.05</v>
      </c>
      <c r="I16" s="1" t="s">
        <v>27</v>
      </c>
      <c r="J16" s="1" t="str">
        <f t="shared" si="9"/>
        <v>1081</v>
      </c>
      <c r="K16" s="1" t="str">
        <f t="shared" si="8"/>
        <v>Oficce Banking                          </v>
      </c>
    </row>
    <row r="17" ht="14.25" customHeight="1">
      <c r="A17" s="1" t="str">
        <f t="shared" si="5"/>
        <v>27/06/2025</v>
      </c>
      <c r="B17" s="2">
        <v>0.3091319444444444</v>
      </c>
      <c r="C17" s="1" t="str">
        <f t="shared" si="6"/>
        <v>27/06/2025</v>
      </c>
      <c r="D17" s="1" t="str">
        <f>T("0018883536")</f>
        <v>0018883536</v>
      </c>
      <c r="E17" s="1" t="s">
        <v>29</v>
      </c>
      <c r="F17" s="1" t="s">
        <v>20</v>
      </c>
      <c r="G17" s="1">
        <v>-186571.28</v>
      </c>
      <c r="H17" s="1">
        <v>-270556.32</v>
      </c>
      <c r="I17" s="1" t="s">
        <v>28</v>
      </c>
      <c r="J17" s="1" t="str">
        <f t="shared" si="9"/>
        <v>1081</v>
      </c>
      <c r="K17" s="1" t="str">
        <f t="shared" si="8"/>
        <v>Oficce Banking                          </v>
      </c>
    </row>
    <row r="18" ht="14.25" customHeight="1">
      <c r="A18" s="1" t="str">
        <f t="shared" si="5"/>
        <v>27/06/2025</v>
      </c>
      <c r="B18" s="2">
        <v>0.3091203703703704</v>
      </c>
      <c r="C18" s="1" t="str">
        <f t="shared" si="6"/>
        <v>27/06/2025</v>
      </c>
      <c r="D18" s="1" t="str">
        <f t="shared" ref="D18:D19" si="10">T("0018883535")</f>
        <v>0018883535</v>
      </c>
      <c r="E18" s="1" t="s">
        <v>25</v>
      </c>
      <c r="F18" s="1" t="s">
        <v>20</v>
      </c>
      <c r="G18" s="1">
        <v>-4.55</v>
      </c>
      <c r="H18" s="1">
        <v>-83985.04</v>
      </c>
      <c r="I18" s="1" t="s">
        <v>30</v>
      </c>
      <c r="J18" s="1" t="str">
        <f>T("8030")</f>
        <v>8030</v>
      </c>
      <c r="K18" s="1" t="str">
        <f t="shared" si="8"/>
        <v>Oficce Banking                          </v>
      </c>
    </row>
    <row r="19" ht="14.25" customHeight="1">
      <c r="A19" s="1" t="str">
        <f t="shared" si="5"/>
        <v>27/06/2025</v>
      </c>
      <c r="B19" s="2">
        <v>0.3091203703703704</v>
      </c>
      <c r="C19" s="1" t="str">
        <f t="shared" si="6"/>
        <v>27/06/2025</v>
      </c>
      <c r="D19" s="1" t="str">
        <f t="shared" si="10"/>
        <v>0018883535</v>
      </c>
      <c r="E19" s="1" t="s">
        <v>29</v>
      </c>
      <c r="F19" s="1" t="s">
        <v>20</v>
      </c>
      <c r="G19" s="1">
        <v>-91935.73</v>
      </c>
      <c r="H19" s="1">
        <v>-83980.49</v>
      </c>
      <c r="I19" s="1" t="s">
        <v>30</v>
      </c>
      <c r="J19" s="1" t="str">
        <f>T("1081")</f>
        <v>1081</v>
      </c>
      <c r="K19" s="1" t="str">
        <f t="shared" si="8"/>
        <v>Oficce Banking                          </v>
      </c>
    </row>
    <row r="20" ht="14.25" customHeight="1">
      <c r="A20" s="1" t="str">
        <f t="shared" ref="A20:A26" si="11">T("20/06/2025")</f>
        <v>20/06/2025</v>
      </c>
      <c r="B20" s="2">
        <v>0.5099537037037037</v>
      </c>
      <c r="C20" s="1" t="str">
        <f t="shared" ref="C20:C26" si="12">T("20/06/2025")</f>
        <v>20/06/2025</v>
      </c>
      <c r="D20" s="1" t="str">
        <f>T("0004751642")</f>
        <v>0004751642</v>
      </c>
      <c r="E20" s="1" t="s">
        <v>23</v>
      </c>
      <c r="F20" s="1" t="s">
        <v>20</v>
      </c>
      <c r="G20" s="1">
        <v>540000.0</v>
      </c>
      <c r="H20" s="1">
        <v>7955.24</v>
      </c>
      <c r="I20" s="3" t="s">
        <v>24</v>
      </c>
      <c r="J20" s="1" t="str">
        <f>T("0195")</f>
        <v>0195</v>
      </c>
      <c r="K20" s="1" t="str">
        <f>T("RIVERA NAVARRETE 475                    ")</f>
        <v>RIVERA NAVARRETE 475                    </v>
      </c>
    </row>
    <row r="21" ht="14.25" customHeight="1">
      <c r="A21" s="1" t="str">
        <f t="shared" si="11"/>
        <v>20/06/2025</v>
      </c>
      <c r="B21" s="2">
        <v>0.3091203703703704</v>
      </c>
      <c r="C21" s="1" t="str">
        <f t="shared" si="12"/>
        <v>20/06/2025</v>
      </c>
      <c r="D21" s="1" t="str">
        <f>T("0018880560")</f>
        <v>0018880560</v>
      </c>
      <c r="E21" s="1" t="s">
        <v>25</v>
      </c>
      <c r="F21" s="1" t="s">
        <v>20</v>
      </c>
      <c r="G21" s="1">
        <v>-17.45</v>
      </c>
      <c r="H21" s="1">
        <v>-532044.76</v>
      </c>
      <c r="I21" s="1" t="s">
        <v>31</v>
      </c>
      <c r="J21" s="1" t="str">
        <f t="shared" ref="J21:J23" si="13">T("8030")</f>
        <v>8030</v>
      </c>
      <c r="K21" s="1" t="str">
        <f t="shared" ref="K21:K26" si="14">T("Oficce Banking                          ")</f>
        <v>Oficce Banking                          </v>
      </c>
    </row>
    <row r="22" ht="14.25" customHeight="1">
      <c r="A22" s="1" t="str">
        <f t="shared" si="11"/>
        <v>20/06/2025</v>
      </c>
      <c r="B22" s="2">
        <v>0.3091203703703704</v>
      </c>
      <c r="C22" s="1" t="str">
        <f t="shared" si="12"/>
        <v>20/06/2025</v>
      </c>
      <c r="D22" s="1" t="str">
        <f>T("0018880559")</f>
        <v>0018880559</v>
      </c>
      <c r="E22" s="1" t="s">
        <v>25</v>
      </c>
      <c r="F22" s="1" t="s">
        <v>20</v>
      </c>
      <c r="G22" s="1">
        <v>-6.7</v>
      </c>
      <c r="H22" s="1">
        <v>-532027.31</v>
      </c>
      <c r="I22" s="1" t="s">
        <v>30</v>
      </c>
      <c r="J22" s="1" t="str">
        <f t="shared" si="13"/>
        <v>8030</v>
      </c>
      <c r="K22" s="1" t="str">
        <f t="shared" si="14"/>
        <v>Oficce Banking                          </v>
      </c>
    </row>
    <row r="23" ht="14.25" customHeight="1">
      <c r="A23" s="1" t="str">
        <f t="shared" si="11"/>
        <v>20/06/2025</v>
      </c>
      <c r="B23" s="2">
        <v>0.3091203703703704</v>
      </c>
      <c r="C23" s="1" t="str">
        <f t="shared" si="12"/>
        <v>20/06/2025</v>
      </c>
      <c r="D23" s="1" t="str">
        <f>T("0018880558")</f>
        <v>0018880558</v>
      </c>
      <c r="E23" s="1" t="s">
        <v>25</v>
      </c>
      <c r="F23" s="1" t="s">
        <v>20</v>
      </c>
      <c r="G23" s="1">
        <v>-2.95</v>
      </c>
      <c r="H23" s="1">
        <v>-532020.61</v>
      </c>
      <c r="I23" s="1" t="s">
        <v>32</v>
      </c>
      <c r="J23" s="1" t="str">
        <f t="shared" si="13"/>
        <v>8030</v>
      </c>
      <c r="K23" s="1" t="str">
        <f t="shared" si="14"/>
        <v>Oficce Banking                          </v>
      </c>
    </row>
    <row r="24" ht="14.25" customHeight="1">
      <c r="A24" s="1" t="str">
        <f t="shared" si="11"/>
        <v>20/06/2025</v>
      </c>
      <c r="B24" s="2">
        <v>0.3091203703703704</v>
      </c>
      <c r="C24" s="1" t="str">
        <f t="shared" si="12"/>
        <v>20/06/2025</v>
      </c>
      <c r="D24" s="1" t="str">
        <f>T("0018880560")</f>
        <v>0018880560</v>
      </c>
      <c r="E24" s="1" t="s">
        <v>29</v>
      </c>
      <c r="F24" s="1" t="s">
        <v>20</v>
      </c>
      <c r="G24" s="1">
        <v>-349129.48</v>
      </c>
      <c r="H24" s="1">
        <v>-532017.66</v>
      </c>
      <c r="I24" s="1" t="s">
        <v>31</v>
      </c>
      <c r="J24" s="1" t="str">
        <f t="shared" ref="J24:J26" si="15">T("1081")</f>
        <v>1081</v>
      </c>
      <c r="K24" s="1" t="str">
        <f t="shared" si="14"/>
        <v>Oficce Banking                          </v>
      </c>
    </row>
    <row r="25" ht="14.25" customHeight="1">
      <c r="A25" s="1" t="str">
        <f t="shared" si="11"/>
        <v>20/06/2025</v>
      </c>
      <c r="B25" s="2">
        <v>0.3091203703703704</v>
      </c>
      <c r="C25" s="1" t="str">
        <f t="shared" si="12"/>
        <v>20/06/2025</v>
      </c>
      <c r="D25" s="1" t="str">
        <f>T("0018880559")</f>
        <v>0018880559</v>
      </c>
      <c r="E25" s="1" t="s">
        <v>29</v>
      </c>
      <c r="F25" s="1" t="s">
        <v>20</v>
      </c>
      <c r="G25" s="1">
        <v>-134233.06</v>
      </c>
      <c r="H25" s="1">
        <v>-182888.18</v>
      </c>
      <c r="I25" s="1" t="s">
        <v>30</v>
      </c>
      <c r="J25" s="1" t="str">
        <f t="shared" si="15"/>
        <v>1081</v>
      </c>
      <c r="K25" s="1" t="str">
        <f t="shared" si="14"/>
        <v>Oficce Banking                          </v>
      </c>
    </row>
    <row r="26" ht="14.25" customHeight="1">
      <c r="A26" s="1" t="str">
        <f t="shared" si="11"/>
        <v>20/06/2025</v>
      </c>
      <c r="B26" s="2">
        <v>0.3091203703703704</v>
      </c>
      <c r="C26" s="1" t="str">
        <f t="shared" si="12"/>
        <v>20/06/2025</v>
      </c>
      <c r="D26" s="1" t="str">
        <f>T("0018880558")</f>
        <v>0018880558</v>
      </c>
      <c r="E26" s="1" t="s">
        <v>29</v>
      </c>
      <c r="F26" s="1" t="s">
        <v>20</v>
      </c>
      <c r="G26" s="1">
        <v>-59194.92</v>
      </c>
      <c r="H26" s="1">
        <v>-48655.12</v>
      </c>
      <c r="I26" s="1" t="s">
        <v>32</v>
      </c>
      <c r="J26" s="1" t="str">
        <f t="shared" si="15"/>
        <v>1081</v>
      </c>
      <c r="K26" s="1" t="str">
        <f t="shared" si="14"/>
        <v>Oficce Banking                          </v>
      </c>
    </row>
    <row r="27" ht="14.25" customHeight="1">
      <c r="A27" s="1" t="str">
        <f t="shared" ref="A27:A28" si="16">T("19/06/2025")</f>
        <v>19/06/2025</v>
      </c>
      <c r="B27" s="2">
        <v>0.5237384259259259</v>
      </c>
      <c r="C27" s="1" t="str">
        <f t="shared" ref="C27:C28" si="17">T("19/06/2025")</f>
        <v>19/06/2025</v>
      </c>
      <c r="D27" s="1" t="str">
        <f>T("1234110098")</f>
        <v>1234110098</v>
      </c>
      <c r="E27" s="1" t="s">
        <v>33</v>
      </c>
      <c r="F27" s="1" t="s">
        <v>20</v>
      </c>
      <c r="G27" s="1">
        <v>-537675.0</v>
      </c>
      <c r="H27" s="1">
        <v>10539.8</v>
      </c>
      <c r="I27" s="1" t="s">
        <v>34</v>
      </c>
      <c r="J27" s="1" t="str">
        <f>T("0235")</f>
        <v>0235</v>
      </c>
      <c r="K27" s="1" t="str">
        <f t="shared" ref="K27:K31" si="18">T("RIVERA NAVARRETE 475                    ")</f>
        <v>RIVERA NAVARRETE 475                    </v>
      </c>
    </row>
    <row r="28" ht="14.25" customHeight="1">
      <c r="A28" s="1" t="str">
        <f t="shared" si="16"/>
        <v>19/06/2025</v>
      </c>
      <c r="B28" s="2">
        <v>0.5065277777777778</v>
      </c>
      <c r="C28" s="1" t="str">
        <f t="shared" si="17"/>
        <v>19/06/2025</v>
      </c>
      <c r="D28" s="1" t="str">
        <f>T("0004751407")</f>
        <v>0004751407</v>
      </c>
      <c r="E28" s="1" t="s">
        <v>23</v>
      </c>
      <c r="F28" s="1" t="s">
        <v>20</v>
      </c>
      <c r="G28" s="1">
        <v>540000.0</v>
      </c>
      <c r="H28" s="1">
        <v>548214.8</v>
      </c>
      <c r="I28" s="3" t="s">
        <v>24</v>
      </c>
      <c r="J28" s="1" t="str">
        <f>T("0195")</f>
        <v>0195</v>
      </c>
      <c r="K28" s="1" t="str">
        <f t="shared" si="18"/>
        <v>RIVERA NAVARRETE 475                    </v>
      </c>
    </row>
    <row r="29" ht="14.25" customHeight="1">
      <c r="A29" s="1" t="str">
        <f t="shared" ref="A29:A30" si="19">T("18/06/2025")</f>
        <v>18/06/2025</v>
      </c>
      <c r="B29" s="2">
        <v>0.521087962962963</v>
      </c>
      <c r="C29" s="1" t="str">
        <f t="shared" ref="C29:C30" si="20">T("18/06/2025")</f>
        <v>18/06/2025</v>
      </c>
      <c r="D29" s="1" t="str">
        <f>T("1230220029")</f>
        <v>1230220029</v>
      </c>
      <c r="E29" s="1" t="s">
        <v>33</v>
      </c>
      <c r="F29" s="1" t="s">
        <v>20</v>
      </c>
      <c r="G29" s="1">
        <v>-718900.0</v>
      </c>
      <c r="H29" s="1">
        <v>8214.8</v>
      </c>
      <c r="I29" s="1" t="s">
        <v>35</v>
      </c>
      <c r="J29" s="1" t="str">
        <f>T("0235")</f>
        <v>0235</v>
      </c>
      <c r="K29" s="1" t="str">
        <f t="shared" si="18"/>
        <v>RIVERA NAVARRETE 475                    </v>
      </c>
    </row>
    <row r="30" ht="14.25" customHeight="1">
      <c r="A30" s="1" t="str">
        <f t="shared" si="19"/>
        <v>18/06/2025</v>
      </c>
      <c r="B30" s="2">
        <v>0.48894675925925923</v>
      </c>
      <c r="C30" s="1" t="str">
        <f t="shared" si="20"/>
        <v>18/06/2025</v>
      </c>
      <c r="D30" s="1" t="str">
        <f>T("0004751113")</f>
        <v>0004751113</v>
      </c>
      <c r="E30" s="1" t="s">
        <v>23</v>
      </c>
      <c r="F30" s="1" t="s">
        <v>20</v>
      </c>
      <c r="G30" s="1">
        <v>720000.0</v>
      </c>
      <c r="H30" s="1">
        <v>727114.8</v>
      </c>
      <c r="I30" s="3" t="s">
        <v>24</v>
      </c>
      <c r="J30" s="1" t="str">
        <f t="shared" ref="J30:J31" si="21">T("0195")</f>
        <v>0195</v>
      </c>
      <c r="K30" s="1" t="str">
        <f t="shared" si="18"/>
        <v>RIVERA NAVARRETE 475                    </v>
      </c>
    </row>
    <row r="31" ht="14.25" customHeight="1">
      <c r="A31" s="1" t="str">
        <f t="shared" ref="A31:A39" si="22">T("13/06/2025")</f>
        <v>13/06/2025</v>
      </c>
      <c r="B31" s="2">
        <v>0.48689814814814814</v>
      </c>
      <c r="C31" s="1" t="str">
        <f t="shared" ref="C31:C39" si="23">T("13/06/2025")</f>
        <v>13/06/2025</v>
      </c>
      <c r="D31" s="1" t="str">
        <f>T("0004750204")</f>
        <v>0004750204</v>
      </c>
      <c r="E31" s="1" t="s">
        <v>23</v>
      </c>
      <c r="F31" s="1" t="s">
        <v>20</v>
      </c>
      <c r="G31" s="1">
        <v>350000.0</v>
      </c>
      <c r="H31" s="1">
        <v>7114.8</v>
      </c>
      <c r="I31" s="3" t="s">
        <v>24</v>
      </c>
      <c r="J31" s="1" t="str">
        <f t="shared" si="21"/>
        <v>0195</v>
      </c>
      <c r="K31" s="1" t="str">
        <f t="shared" si="18"/>
        <v>RIVERA NAVARRETE 475                    </v>
      </c>
    </row>
    <row r="32" ht="14.25" customHeight="1">
      <c r="A32" s="1" t="str">
        <f t="shared" si="22"/>
        <v>13/06/2025</v>
      </c>
      <c r="B32" s="2">
        <v>0.3091319444444444</v>
      </c>
      <c r="C32" s="1" t="str">
        <f t="shared" si="23"/>
        <v>13/06/2025</v>
      </c>
      <c r="D32" s="1" t="str">
        <f t="shared" ref="D32:D33" si="24">T("0018876707")</f>
        <v>0018876707</v>
      </c>
      <c r="E32" s="1" t="s">
        <v>25</v>
      </c>
      <c r="F32" s="1" t="s">
        <v>20</v>
      </c>
      <c r="G32" s="1">
        <v>-0.1</v>
      </c>
      <c r="H32" s="1">
        <v>-342885.2</v>
      </c>
      <c r="I32" s="1" t="s">
        <v>27</v>
      </c>
      <c r="J32" s="1" t="str">
        <f>T("8030")</f>
        <v>8030</v>
      </c>
      <c r="K32" s="1" t="str">
        <f t="shared" ref="K32:K39" si="25">T("Oficce Banking                          ")</f>
        <v>Oficce Banking                          </v>
      </c>
    </row>
    <row r="33" ht="14.25" customHeight="1">
      <c r="A33" s="1" t="str">
        <f t="shared" si="22"/>
        <v>13/06/2025</v>
      </c>
      <c r="B33" s="2">
        <v>0.3091319444444444</v>
      </c>
      <c r="C33" s="1" t="str">
        <f t="shared" si="23"/>
        <v>13/06/2025</v>
      </c>
      <c r="D33" s="1" t="str">
        <f t="shared" si="24"/>
        <v>0018876707</v>
      </c>
      <c r="E33" s="1" t="s">
        <v>29</v>
      </c>
      <c r="F33" s="1" t="s">
        <v>20</v>
      </c>
      <c r="G33" s="1">
        <v>-2435.71</v>
      </c>
      <c r="H33" s="1">
        <v>-342885.1</v>
      </c>
      <c r="I33" s="1" t="s">
        <v>27</v>
      </c>
      <c r="J33" s="1" t="str">
        <f>T("1081")</f>
        <v>1081</v>
      </c>
      <c r="K33" s="1" t="str">
        <f t="shared" si="25"/>
        <v>Oficce Banking                          </v>
      </c>
    </row>
    <row r="34" ht="14.25" customHeight="1">
      <c r="A34" s="1" t="str">
        <f t="shared" si="22"/>
        <v>13/06/2025</v>
      </c>
      <c r="B34" s="2">
        <v>0.3091203703703704</v>
      </c>
      <c r="C34" s="1" t="str">
        <f t="shared" si="23"/>
        <v>13/06/2025</v>
      </c>
      <c r="D34" s="1" t="str">
        <f>T("0018876705")</f>
        <v>0018876705</v>
      </c>
      <c r="E34" s="1" t="s">
        <v>25</v>
      </c>
      <c r="F34" s="1" t="s">
        <v>20</v>
      </c>
      <c r="G34" s="1">
        <v>-0.1</v>
      </c>
      <c r="H34" s="1">
        <v>-340449.39</v>
      </c>
      <c r="I34" s="1" t="s">
        <v>28</v>
      </c>
      <c r="J34" s="1" t="str">
        <f t="shared" ref="J34:J36" si="26">T("8030")</f>
        <v>8030</v>
      </c>
      <c r="K34" s="1" t="str">
        <f t="shared" si="25"/>
        <v>Oficce Banking                          </v>
      </c>
    </row>
    <row r="35" ht="14.25" customHeight="1">
      <c r="A35" s="1" t="str">
        <f t="shared" si="22"/>
        <v>13/06/2025</v>
      </c>
      <c r="B35" s="2">
        <v>0.3091203703703704</v>
      </c>
      <c r="C35" s="1" t="str">
        <f t="shared" si="23"/>
        <v>13/06/2025</v>
      </c>
      <c r="D35" s="1" t="str">
        <f>T("0018876702")</f>
        <v>0018876702</v>
      </c>
      <c r="E35" s="1" t="s">
        <v>25</v>
      </c>
      <c r="F35" s="1" t="s">
        <v>20</v>
      </c>
      <c r="G35" s="1">
        <v>-4.65</v>
      </c>
      <c r="H35" s="1">
        <v>-340449.29</v>
      </c>
      <c r="I35" s="1" t="s">
        <v>32</v>
      </c>
      <c r="J35" s="1" t="str">
        <f t="shared" si="26"/>
        <v>8030</v>
      </c>
      <c r="K35" s="1" t="str">
        <f t="shared" si="25"/>
        <v>Oficce Banking                          </v>
      </c>
    </row>
    <row r="36" ht="14.25" customHeight="1">
      <c r="A36" s="1" t="str">
        <f t="shared" si="22"/>
        <v>13/06/2025</v>
      </c>
      <c r="B36" s="2">
        <v>0.3091203703703704</v>
      </c>
      <c r="C36" s="1" t="str">
        <f t="shared" si="23"/>
        <v>13/06/2025</v>
      </c>
      <c r="D36" s="1" t="str">
        <f>T("0018876701")</f>
        <v>0018876701</v>
      </c>
      <c r="E36" s="1" t="s">
        <v>25</v>
      </c>
      <c r="F36" s="1" t="s">
        <v>20</v>
      </c>
      <c r="G36" s="1">
        <v>-12.8</v>
      </c>
      <c r="H36" s="1">
        <v>-340444.64</v>
      </c>
      <c r="I36" s="1" t="s">
        <v>36</v>
      </c>
      <c r="J36" s="1" t="str">
        <f t="shared" si="26"/>
        <v>8030</v>
      </c>
      <c r="K36" s="1" t="str">
        <f t="shared" si="25"/>
        <v>Oficce Banking                          </v>
      </c>
    </row>
    <row r="37" ht="14.25" customHeight="1">
      <c r="A37" s="1" t="str">
        <f t="shared" si="22"/>
        <v>13/06/2025</v>
      </c>
      <c r="B37" s="2">
        <v>0.3091203703703704</v>
      </c>
      <c r="C37" s="1" t="str">
        <f t="shared" si="23"/>
        <v>13/06/2025</v>
      </c>
      <c r="D37" s="1" t="str">
        <f>T("0018876705")</f>
        <v>0018876705</v>
      </c>
      <c r="E37" s="1" t="s">
        <v>29</v>
      </c>
      <c r="F37" s="1" t="s">
        <v>20</v>
      </c>
      <c r="G37" s="1">
        <v>-2447.75</v>
      </c>
      <c r="H37" s="1">
        <v>-340431.84</v>
      </c>
      <c r="I37" s="1" t="s">
        <v>28</v>
      </c>
      <c r="J37" s="1" t="str">
        <f t="shared" ref="J37:J39" si="27">T("1081")</f>
        <v>1081</v>
      </c>
      <c r="K37" s="1" t="str">
        <f t="shared" si="25"/>
        <v>Oficce Banking                          </v>
      </c>
    </row>
    <row r="38" ht="14.25" customHeight="1">
      <c r="A38" s="1" t="str">
        <f t="shared" si="22"/>
        <v>13/06/2025</v>
      </c>
      <c r="B38" s="2">
        <v>0.3091203703703704</v>
      </c>
      <c r="C38" s="1" t="str">
        <f t="shared" si="23"/>
        <v>13/06/2025</v>
      </c>
      <c r="D38" s="1" t="str">
        <f>T("0018876702")</f>
        <v>0018876702</v>
      </c>
      <c r="E38" s="1" t="s">
        <v>29</v>
      </c>
      <c r="F38" s="1" t="s">
        <v>20</v>
      </c>
      <c r="G38" s="1">
        <v>-93923.22</v>
      </c>
      <c r="H38" s="1">
        <v>-337984.09</v>
      </c>
      <c r="I38" s="1" t="s">
        <v>32</v>
      </c>
      <c r="J38" s="1" t="str">
        <f t="shared" si="27"/>
        <v>1081</v>
      </c>
      <c r="K38" s="1" t="str">
        <f t="shared" si="25"/>
        <v>Oficce Banking                          </v>
      </c>
    </row>
    <row r="39" ht="14.25" customHeight="1">
      <c r="A39" s="1" t="str">
        <f t="shared" si="22"/>
        <v>13/06/2025</v>
      </c>
      <c r="B39" s="2">
        <v>0.3091203703703704</v>
      </c>
      <c r="C39" s="1" t="str">
        <f t="shared" si="23"/>
        <v>13/06/2025</v>
      </c>
      <c r="D39" s="1" t="str">
        <f>T("0018876701")</f>
        <v>0018876701</v>
      </c>
      <c r="E39" s="1" t="s">
        <v>29</v>
      </c>
      <c r="F39" s="1" t="s">
        <v>20</v>
      </c>
      <c r="G39" s="1">
        <v>-256851.84</v>
      </c>
      <c r="H39" s="1">
        <v>-244060.87</v>
      </c>
      <c r="I39" s="1" t="s">
        <v>36</v>
      </c>
      <c r="J39" s="1" t="str">
        <f t="shared" si="27"/>
        <v>1081</v>
      </c>
      <c r="K39" s="1" t="str">
        <f t="shared" si="25"/>
        <v>Oficce Banking                          </v>
      </c>
    </row>
    <row r="40" ht="14.25" customHeight="1">
      <c r="A40" s="1" t="str">
        <f>T("12/06/2025")</f>
        <v>12/06/2025</v>
      </c>
      <c r="B40" s="2">
        <v>0.6909953703703704</v>
      </c>
      <c r="C40" s="1" t="str">
        <f>T("12/06/2025")</f>
        <v>12/06/2025</v>
      </c>
      <c r="D40" s="1" t="str">
        <f>T("1206251053")</f>
        <v>1206251053</v>
      </c>
      <c r="E40" s="1" t="s">
        <v>37</v>
      </c>
      <c r="F40" s="1" t="s">
        <v>20</v>
      </c>
      <c r="G40" s="1">
        <v>18.0</v>
      </c>
      <c r="H40" s="1">
        <v>12790.97</v>
      </c>
      <c r="I40" s="1" t="s">
        <v>38</v>
      </c>
      <c r="J40" s="1" t="str">
        <f>T("8505")</f>
        <v>8505</v>
      </c>
      <c r="K40" s="1" t="str">
        <f t="shared" ref="K40:K41" si="28">T("RIVERA NAVARRETE 475                    ")</f>
        <v>RIVERA NAVARRETE 475                    </v>
      </c>
    </row>
    <row r="41" ht="14.25" customHeight="1">
      <c r="A41" s="1" t="str">
        <f t="shared" ref="A41:A43" si="29">T("06/06/2025")</f>
        <v>06/06/2025</v>
      </c>
      <c r="B41" s="2">
        <v>0.5292245370370371</v>
      </c>
      <c r="C41" s="1" t="str">
        <f t="shared" ref="C41:C43" si="30">T("06/06/2025")</f>
        <v>06/06/2025</v>
      </c>
      <c r="D41" s="1" t="str">
        <f>T("0004748794")</f>
        <v>0004748794</v>
      </c>
      <c r="E41" s="1" t="s">
        <v>23</v>
      </c>
      <c r="F41" s="1" t="s">
        <v>20</v>
      </c>
      <c r="G41" s="1">
        <v>160000.0</v>
      </c>
      <c r="H41" s="1">
        <v>12772.97</v>
      </c>
      <c r="I41" s="3" t="s">
        <v>24</v>
      </c>
      <c r="J41" s="1" t="str">
        <f>T("0195")</f>
        <v>0195</v>
      </c>
      <c r="K41" s="1" t="str">
        <f t="shared" si="28"/>
        <v>RIVERA NAVARRETE 475                    </v>
      </c>
    </row>
    <row r="42" ht="14.25" customHeight="1">
      <c r="A42" s="1" t="str">
        <f t="shared" si="29"/>
        <v>06/06/2025</v>
      </c>
      <c r="B42" s="2">
        <v>0.3091203703703704</v>
      </c>
      <c r="C42" s="1" t="str">
        <f t="shared" si="30"/>
        <v>06/06/2025</v>
      </c>
      <c r="D42" s="1" t="str">
        <f t="shared" ref="D42:D43" si="31">T("0018873614")</f>
        <v>0018873614</v>
      </c>
      <c r="E42" s="1" t="s">
        <v>25</v>
      </c>
      <c r="F42" s="1" t="s">
        <v>20</v>
      </c>
      <c r="G42" s="1">
        <v>-8.2</v>
      </c>
      <c r="H42" s="1">
        <v>-147227.03</v>
      </c>
      <c r="I42" s="1" t="s">
        <v>39</v>
      </c>
      <c r="J42" s="1" t="str">
        <f>T("8030")</f>
        <v>8030</v>
      </c>
      <c r="K42" s="1" t="str">
        <f t="shared" ref="K42:K43" si="32">T("Oficce Banking                          ")</f>
        <v>Oficce Banking                          </v>
      </c>
    </row>
    <row r="43" ht="14.25" customHeight="1">
      <c r="A43" s="1" t="str">
        <f t="shared" si="29"/>
        <v>06/06/2025</v>
      </c>
      <c r="B43" s="2">
        <v>0.3091203703703704</v>
      </c>
      <c r="C43" s="1" t="str">
        <f t="shared" si="30"/>
        <v>06/06/2025</v>
      </c>
      <c r="D43" s="1" t="str">
        <f t="shared" si="31"/>
        <v>0018873614</v>
      </c>
      <c r="E43" s="1" t="s">
        <v>29</v>
      </c>
      <c r="F43" s="1" t="s">
        <v>20</v>
      </c>
      <c r="G43" s="1">
        <v>-164737.18</v>
      </c>
      <c r="H43" s="1">
        <v>-147218.83</v>
      </c>
      <c r="I43" s="1" t="s">
        <v>39</v>
      </c>
      <c r="J43" s="1" t="str">
        <f>T("1081")</f>
        <v>1081</v>
      </c>
      <c r="K43" s="1" t="str">
        <f t="shared" si="32"/>
        <v>Oficce Banking                          </v>
      </c>
    </row>
    <row r="44" ht="14.25" customHeight="1">
      <c r="A44" s="1" t="str">
        <f>T("02/06/2025")</f>
        <v>02/06/2025</v>
      </c>
      <c r="B44" s="2">
        <v>0.3994097222222222</v>
      </c>
      <c r="C44" s="1" t="str">
        <f>T("02/06/2025")</f>
        <v>02/06/2025</v>
      </c>
      <c r="D44" s="1" t="str">
        <f>T("0206254105")</f>
        <v>0206254105</v>
      </c>
      <c r="E44" s="1" t="s">
        <v>37</v>
      </c>
      <c r="F44" s="1" t="s">
        <v>20</v>
      </c>
      <c r="G44" s="1">
        <v>783.25</v>
      </c>
      <c r="H44" s="1">
        <v>17518.35</v>
      </c>
      <c r="I44" s="1" t="s">
        <v>38</v>
      </c>
      <c r="J44" s="1" t="str">
        <f>T("8505")</f>
        <v>8505</v>
      </c>
      <c r="K44" s="1" t="str">
        <f>T("RIVERA NAVARRETE 475                    ")</f>
        <v>RIVERA NAVARRETE 475                    </v>
      </c>
    </row>
    <row r="45" ht="14.25" customHeight="1">
      <c r="A45" s="1" t="s">
        <v>40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2025-07-01T18:23:56Z</dcterms:created>
  <dc:creator>Salcedo, Luz (Finanzas)</dc:creator>
</cp:coreProperties>
</file>